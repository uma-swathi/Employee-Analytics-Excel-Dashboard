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59B00399-81CE-4C9A-A684-887DC31F33E3}" xr6:coauthVersionLast="47" xr6:coauthVersionMax="47" xr10:uidLastSave="{00000000-0000-0000-0000-000000000000}"/>
  <bookViews>
    <workbookView xWindow="-110" yWindow="-110" windowWidth="19420" windowHeight="10300" activeTab="2" xr2:uid="{241AA238-3CE5-42E8-8F2A-820499624DD2}"/>
  </bookViews>
  <sheets>
    <sheet name="EmployeeData" sheetId="2" r:id="rId1"/>
    <sheet name="Analysis" sheetId="1" r:id="rId2"/>
    <sheet name="Dashboard" sheetId="3" r:id="rId3"/>
  </sheets>
  <definedNames>
    <definedName name="_xlchart.v1.0" hidden="1">Dashboard!$A$11:$A$14</definedName>
    <definedName name="_xlchart.v1.1" hidden="1">Dashboard!$B$10</definedName>
    <definedName name="_xlchart.v1.2" hidden="1">Dashboard!$B$11:$B$14</definedName>
    <definedName name="_xlchart.v1.3" hidden="1">Dashboard!$C$10</definedName>
    <definedName name="_xlchart.v1.4" hidden="1">Dashboard!$C$11:$C$14</definedName>
    <definedName name="_xlchart.v1.5" hidden="1">Dashboard!$A$11:$A$14</definedName>
    <definedName name="_xlchart.v1.6" hidden="1">Dashboard!$B$10</definedName>
    <definedName name="_xlchart.v1.7" hidden="1">Dashboard!$B$11:$B$14</definedName>
    <definedName name="_xlchart.v1.8" hidden="1">Dashboard!$C$10</definedName>
    <definedName name="_xlchart.v1.9" hidden="1">Dashboard!$C$11:$C$14</definedName>
    <definedName name="ExternalData_1" localSheetId="0" hidden="1">EmployeeData!$A$1:$I$31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2" i="3" l="1"/>
  <c r="B71" i="3"/>
  <c r="B70" i="3"/>
  <c r="B69" i="3"/>
  <c r="C58" i="3"/>
  <c r="C57" i="3"/>
  <c r="C56" i="3"/>
  <c r="C14" i="3"/>
  <c r="B14" i="3"/>
  <c r="C13" i="3"/>
  <c r="B13" i="3"/>
  <c r="C12" i="3"/>
  <c r="B12" i="3"/>
  <c r="C11" i="3"/>
  <c r="B11" i="3"/>
  <c r="B58" i="3"/>
  <c r="B57" i="3"/>
  <c r="B56" i="3"/>
  <c r="C47" i="3"/>
  <c r="B47" i="3"/>
  <c r="C46" i="3"/>
  <c r="B46" i="3"/>
  <c r="C45" i="3"/>
  <c r="B45" i="3"/>
  <c r="C44" i="3"/>
  <c r="B44" i="3"/>
  <c r="C43" i="3"/>
  <c r="B43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40" i="1"/>
  <c r="C41" i="1"/>
  <c r="C39" i="1"/>
  <c r="B40" i="1"/>
  <c r="B41" i="1"/>
  <c r="B39" i="1"/>
  <c r="C31" i="1"/>
  <c r="C32" i="1"/>
  <c r="C33" i="1"/>
  <c r="C34" i="1"/>
  <c r="C30" i="1"/>
  <c r="B31" i="1"/>
  <c r="B32" i="1"/>
  <c r="B33" i="1"/>
  <c r="B34" i="1"/>
  <c r="B30" i="1"/>
  <c r="C15" i="1"/>
  <c r="C16" i="1"/>
  <c r="C17" i="1"/>
  <c r="C18" i="1"/>
  <c r="C19" i="1"/>
  <c r="C20" i="1"/>
  <c r="C21" i="1"/>
  <c r="C22" i="1"/>
  <c r="C23" i="1"/>
  <c r="C24" i="1"/>
  <c r="C25" i="1"/>
  <c r="C14" i="1"/>
  <c r="B15" i="1"/>
  <c r="B16" i="1"/>
  <c r="B17" i="1"/>
  <c r="B18" i="1"/>
  <c r="B19" i="1"/>
  <c r="B20" i="1"/>
  <c r="B21" i="1"/>
  <c r="B22" i="1"/>
  <c r="B23" i="1"/>
  <c r="B24" i="1"/>
  <c r="B25" i="1"/>
  <c r="B14" i="1"/>
  <c r="J5" i="1"/>
  <c r="J6" i="1"/>
  <c r="J7" i="1"/>
  <c r="J4" i="1"/>
  <c r="I5" i="1"/>
  <c r="I6" i="1"/>
  <c r="I7" i="1"/>
  <c r="I4" i="1"/>
  <c r="H5" i="1"/>
  <c r="H6" i="1"/>
  <c r="H7" i="1"/>
  <c r="H4" i="1"/>
  <c r="G5" i="1"/>
  <c r="G6" i="1"/>
  <c r="G7" i="1"/>
  <c r="G4" i="1"/>
  <c r="F5" i="1"/>
  <c r="F6" i="1"/>
  <c r="F7" i="1"/>
  <c r="F4" i="1"/>
  <c r="E5" i="1"/>
  <c r="E6" i="1"/>
  <c r="E7" i="1"/>
  <c r="E4" i="1"/>
  <c r="B9" i="1"/>
  <c r="K5" i="3" s="1"/>
  <c r="B8" i="1"/>
  <c r="I5" i="3" s="1"/>
  <c r="B7" i="1"/>
  <c r="G5" i="3" s="1"/>
  <c r="B6" i="1"/>
  <c r="E5" i="3" s="1"/>
  <c r="B5" i="1"/>
  <c r="C5" i="3" s="1"/>
  <c r="B4" i="1"/>
  <c r="A5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6F9736-E9EE-4E7D-A148-B1B19476E7E3}" keepAlive="1" name="Query - EmployeeData" description="Connection to the 'EmployeeData' query in the workbook." type="5" refreshedVersion="8" background="1" saveData="1">
    <dbPr connection="Provider=Microsoft.Mashup.OleDb.1;Data Source=$Workbook$;Location=EmployeeData;Extended Properties=&quot;&quot;" command="SELECT * FROM [EmployeeData]"/>
  </connection>
</connections>
</file>

<file path=xl/sharedStrings.xml><?xml version="1.0" encoding="utf-8"?>
<sst xmlns="http://schemas.openxmlformats.org/spreadsheetml/2006/main" count="261" uniqueCount="115">
  <si>
    <t>Metric</t>
  </si>
  <si>
    <t>Value</t>
  </si>
  <si>
    <t>Total Employees</t>
  </si>
  <si>
    <t>Average Salary</t>
  </si>
  <si>
    <t>Highest Salary</t>
  </si>
  <si>
    <t>Lowest Salary</t>
  </si>
  <si>
    <t>Average Experience</t>
  </si>
  <si>
    <t>Average Performance Rating</t>
  </si>
  <si>
    <t>EmployeeID</t>
  </si>
  <si>
    <t>Name</t>
  </si>
  <si>
    <t>Department</t>
  </si>
  <si>
    <t>JobRole</t>
  </si>
  <si>
    <t>City</t>
  </si>
  <si>
    <t>Experience</t>
  </si>
  <si>
    <t>Salary</t>
  </si>
  <si>
    <t>JoiningDate</t>
  </si>
  <si>
    <t>PerformanceRating</t>
  </si>
  <si>
    <t>E001</t>
  </si>
  <si>
    <t>Rahul</t>
  </si>
  <si>
    <t>IT</t>
  </si>
  <si>
    <t>DataAnalyst</t>
  </si>
  <si>
    <t>Hyderabad</t>
  </si>
  <si>
    <t>E002</t>
  </si>
  <si>
    <t>Priya</t>
  </si>
  <si>
    <t>Finance</t>
  </si>
  <si>
    <t>FinancialAnalyst</t>
  </si>
  <si>
    <t>Mumbai</t>
  </si>
  <si>
    <t>E003</t>
  </si>
  <si>
    <t>Arjun</t>
  </si>
  <si>
    <t>HR</t>
  </si>
  <si>
    <t>HRExecutive</t>
  </si>
  <si>
    <t>Delhi</t>
  </si>
  <si>
    <t>E004</t>
  </si>
  <si>
    <t>Sneha</t>
  </si>
  <si>
    <t>DataEngineer</t>
  </si>
  <si>
    <t>Bangalore</t>
  </si>
  <si>
    <t>E005</t>
  </si>
  <si>
    <t>Kiran</t>
  </si>
  <si>
    <t>Sales</t>
  </si>
  <si>
    <t>SalesExecutive</t>
  </si>
  <si>
    <t>Pune</t>
  </si>
  <si>
    <t>E006</t>
  </si>
  <si>
    <t>Ananya</t>
  </si>
  <si>
    <t>Accountant</t>
  </si>
  <si>
    <t>E007</t>
  </si>
  <si>
    <t>Vikram</t>
  </si>
  <si>
    <t>SoftwareEngineer</t>
  </si>
  <si>
    <t>E008</t>
  </si>
  <si>
    <t>Meena</t>
  </si>
  <si>
    <t>HRManager</t>
  </si>
  <si>
    <t>E009</t>
  </si>
  <si>
    <t>Rohit</t>
  </si>
  <si>
    <t>SeniorAccountant</t>
  </si>
  <si>
    <t>E010</t>
  </si>
  <si>
    <t>Pooja</t>
  </si>
  <si>
    <t>BusinessAnalyst</t>
  </si>
  <si>
    <t>E011</t>
  </si>
  <si>
    <t>Suresh</t>
  </si>
  <si>
    <t>SalesManager</t>
  </si>
  <si>
    <t>E012</t>
  </si>
  <si>
    <t>Divya</t>
  </si>
  <si>
    <t>Recruiter</t>
  </si>
  <si>
    <t>E013</t>
  </si>
  <si>
    <t>Manoj</t>
  </si>
  <si>
    <t>E014</t>
  </si>
  <si>
    <t>Lakshmi</t>
  </si>
  <si>
    <t>E015</t>
  </si>
  <si>
    <t>Varun</t>
  </si>
  <si>
    <t>E016</t>
  </si>
  <si>
    <t>Swathi</t>
  </si>
  <si>
    <t>E017</t>
  </si>
  <si>
    <t>Naveen</t>
  </si>
  <si>
    <t>E018</t>
  </si>
  <si>
    <t>Keerthi</t>
  </si>
  <si>
    <t>E019</t>
  </si>
  <si>
    <t>Ajay</t>
  </si>
  <si>
    <t>E020</t>
  </si>
  <si>
    <t>Deepa</t>
  </si>
  <si>
    <t>E021</t>
  </si>
  <si>
    <t>Ravi</t>
  </si>
  <si>
    <t>E022</t>
  </si>
  <si>
    <t>Neha</t>
  </si>
  <si>
    <t>E023</t>
  </si>
  <si>
    <t>Aravind</t>
  </si>
  <si>
    <t>E024</t>
  </si>
  <si>
    <t>Kavya</t>
  </si>
  <si>
    <t>E025</t>
  </si>
  <si>
    <t>Harish</t>
  </si>
  <si>
    <t>E026</t>
  </si>
  <si>
    <t>Swetha</t>
  </si>
  <si>
    <t>E027</t>
  </si>
  <si>
    <t>Prakash</t>
  </si>
  <si>
    <t>E028</t>
  </si>
  <si>
    <t>Teja</t>
  </si>
  <si>
    <t>E029</t>
  </si>
  <si>
    <t>Anjali</t>
  </si>
  <si>
    <t>E030</t>
  </si>
  <si>
    <t>Ramesh</t>
  </si>
  <si>
    <t>Employee Analytics Project</t>
  </si>
  <si>
    <t>Employee Count</t>
  </si>
  <si>
    <t>Job Role Analysis</t>
  </si>
  <si>
    <t>Job Role</t>
  </si>
  <si>
    <t>City Analysis</t>
  </si>
  <si>
    <t>Performance Rating Analysis</t>
  </si>
  <si>
    <t>Performance Rating</t>
  </si>
  <si>
    <t>Employee Analytics Dashboard</t>
  </si>
  <si>
    <t>Avg Performance Rating</t>
  </si>
  <si>
    <t>Total Employee</t>
  </si>
  <si>
    <t>Employee Data Analysis</t>
  </si>
  <si>
    <t>Department Analysis</t>
  </si>
  <si>
    <t>Department Chart</t>
  </si>
  <si>
    <t>City Analysis Chart</t>
  </si>
  <si>
    <t>Job Role Chart</t>
  </si>
  <si>
    <t>Performance Analysis Chart</t>
  </si>
  <si>
    <t>Average Salary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</si>
</sst>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6"/>
      <color rgb="FF7030A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top"/>
    </xf>
    <xf numFmtId="0" fontId="1" fillId="0" borderId="0" xfId="0" applyFont="1"/>
    <xf numFmtId="0" fontId="1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0" fillId="0" borderId="10" xfId="0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2" fontId="0" fillId="0" borderId="12" xfId="0" applyNumberFormat="1" applyBorder="1"/>
    <xf numFmtId="2" fontId="0" fillId="0" borderId="13" xfId="0" applyNumberFormat="1" applyBorder="1"/>
    <xf numFmtId="0" fontId="1" fillId="0" borderId="9" xfId="0" applyFont="1" applyBorder="1" applyAlignment="1">
      <alignment wrapText="1"/>
    </xf>
    <xf numFmtId="2" fontId="0" fillId="0" borderId="2" xfId="0" applyNumberFormat="1" applyBorder="1"/>
    <xf numFmtId="2" fontId="0" fillId="0" borderId="3" xfId="0" applyNumberFormat="1" applyBorder="1"/>
    <xf numFmtId="0" fontId="2" fillId="0" borderId="0" xfId="0" applyFont="1"/>
    <xf numFmtId="0" fontId="0" fillId="0" borderId="5" xfId="0" applyBorder="1" applyAlignment="1">
      <alignment wrapText="1"/>
    </xf>
    <xf numFmtId="2" fontId="0" fillId="0" borderId="0" xfId="0" applyNumberFormat="1"/>
    <xf numFmtId="2" fontId="1" fillId="0" borderId="1" xfId="0" applyNumberFormat="1" applyFont="1" applyBorder="1"/>
    <xf numFmtId="0" fontId="5" fillId="0" borderId="0" xfId="0" applyFont="1"/>
    <xf numFmtId="0" fontId="3" fillId="0" borderId="0" xfId="0" applyFont="1"/>
    <xf numFmtId="2" fontId="1" fillId="0" borderId="9" xfId="0" applyNumberFormat="1" applyFont="1" applyBorder="1"/>
    <xf numFmtId="0" fontId="0" fillId="0" borderId="15" xfId="0" applyBorder="1"/>
    <xf numFmtId="0" fontId="8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7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11" xfId="0" applyBorder="1"/>
    <xf numFmtId="0" fontId="0" fillId="0" borderId="9" xfId="0" applyBorder="1"/>
    <xf numFmtId="0" fontId="1" fillId="0" borderId="7" xfId="0" applyFont="1" applyBorder="1" applyAlignment="1">
      <alignment wrapText="1"/>
    </xf>
    <xf numFmtId="0" fontId="1" fillId="0" borderId="9" xfId="0" applyFont="1" applyBorder="1"/>
    <xf numFmtId="1" fontId="0" fillId="0" borderId="2" xfId="0" applyNumberFormat="1" applyBorder="1"/>
    <xf numFmtId="1" fontId="0" fillId="0" borderId="3" xfId="0" applyNumberFormat="1" applyBorder="1"/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Job</a:t>
            </a:r>
            <a:r>
              <a:rPr lang="en-IN" baseline="0"/>
              <a:t>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Dashboard!$C$25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Dashboard!$A$26:$A$37</c:f>
              <c:strCache>
                <c:ptCount val="12"/>
                <c:pt idx="0">
                  <c:v>DataAnalyst</c:v>
                </c:pt>
                <c:pt idx="1">
                  <c:v>FinancialAnalyst</c:v>
                </c:pt>
                <c:pt idx="2">
                  <c:v>HRExecutive</c:v>
                </c:pt>
                <c:pt idx="3">
                  <c:v>DataEngineer</c:v>
                </c:pt>
                <c:pt idx="4">
                  <c:v>SalesExecutive</c:v>
                </c:pt>
                <c:pt idx="5">
                  <c:v>Accountant</c:v>
                </c:pt>
                <c:pt idx="6">
                  <c:v>SoftwareEngineer</c:v>
                </c:pt>
                <c:pt idx="7">
                  <c:v>HRManager</c:v>
                </c:pt>
                <c:pt idx="8">
                  <c:v>SeniorAccountant</c:v>
                </c:pt>
                <c:pt idx="9">
                  <c:v>BusinessAnalyst</c:v>
                </c:pt>
                <c:pt idx="10">
                  <c:v>SalesManager</c:v>
                </c:pt>
                <c:pt idx="11">
                  <c:v>Recruiter</c:v>
                </c:pt>
              </c:strCache>
            </c:strRef>
          </c:cat>
          <c:val>
            <c:numRef>
              <c:f>Dashboard!$C$26:$C$37</c:f>
              <c:numCache>
                <c:formatCode>0.00</c:formatCode>
                <c:ptCount val="12"/>
                <c:pt idx="0">
                  <c:v>54000</c:v>
                </c:pt>
                <c:pt idx="1">
                  <c:v>74666.666666666672</c:v>
                </c:pt>
                <c:pt idx="2">
                  <c:v>57000</c:v>
                </c:pt>
                <c:pt idx="3">
                  <c:v>82500</c:v>
                </c:pt>
                <c:pt idx="4">
                  <c:v>57000</c:v>
                </c:pt>
                <c:pt idx="5">
                  <c:v>54666.666666666664</c:v>
                </c:pt>
                <c:pt idx="6">
                  <c:v>84000</c:v>
                </c:pt>
                <c:pt idx="7">
                  <c:v>86500</c:v>
                </c:pt>
                <c:pt idx="8">
                  <c:v>81500</c:v>
                </c:pt>
                <c:pt idx="9">
                  <c:v>72000</c:v>
                </c:pt>
                <c:pt idx="10">
                  <c:v>93500</c:v>
                </c:pt>
                <c:pt idx="11">
                  <c:v>50500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10-467C-B2A2-87359BDF5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856505520"/>
        <c:axId val="856505192"/>
      </c:barChart>
      <c:lineChart>
        <c:grouping val="stacked"/>
        <c:varyColors val="0"/>
        <c:ser>
          <c:idx val="0"/>
          <c:order val="0"/>
          <c:tx>
            <c:strRef>
              <c:f>Dashboard!$B$25</c:f>
              <c:strCache>
                <c:ptCount val="1"/>
                <c:pt idx="0">
                  <c:v>Employee Count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Dashboard!$A$26:$A$37</c:f>
              <c:strCache>
                <c:ptCount val="12"/>
                <c:pt idx="0">
                  <c:v>DataAnalyst</c:v>
                </c:pt>
                <c:pt idx="1">
                  <c:v>FinancialAnalyst</c:v>
                </c:pt>
                <c:pt idx="2">
                  <c:v>HRExecutive</c:v>
                </c:pt>
                <c:pt idx="3">
                  <c:v>DataEngineer</c:v>
                </c:pt>
                <c:pt idx="4">
                  <c:v>SalesExecutive</c:v>
                </c:pt>
                <c:pt idx="5">
                  <c:v>Accountant</c:v>
                </c:pt>
                <c:pt idx="6">
                  <c:v>SoftwareEngineer</c:v>
                </c:pt>
                <c:pt idx="7">
                  <c:v>HRManager</c:v>
                </c:pt>
                <c:pt idx="8">
                  <c:v>SeniorAccountant</c:v>
                </c:pt>
                <c:pt idx="9">
                  <c:v>BusinessAnalyst</c:v>
                </c:pt>
                <c:pt idx="10">
                  <c:v>SalesManager</c:v>
                </c:pt>
                <c:pt idx="11">
                  <c:v>Recruiter</c:v>
                </c:pt>
              </c:strCache>
            </c:strRef>
          </c:cat>
          <c:val>
            <c:numRef>
              <c:f>Dashboard!$B$26:$B$37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0-467C-B2A2-87359BDF5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0255960"/>
        <c:axId val="1050256288"/>
      </c:lineChart>
      <c:catAx>
        <c:axId val="1050255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256288"/>
        <c:crosses val="autoZero"/>
        <c:auto val="1"/>
        <c:lblAlgn val="ctr"/>
        <c:lblOffset val="100"/>
        <c:noMultiLvlLbl val="0"/>
      </c:catAx>
      <c:valAx>
        <c:axId val="105025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255960"/>
        <c:crosses val="autoZero"/>
        <c:crossBetween val="between"/>
      </c:valAx>
      <c:valAx>
        <c:axId val="856505192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505520"/>
        <c:crosses val="max"/>
        <c:crossBetween val="between"/>
      </c:valAx>
      <c:catAx>
        <c:axId val="856505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6505192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Dashboard!$C$42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Dashboard!$A$43:$A$47</c:f>
              <c:strCache>
                <c:ptCount val="5"/>
                <c:pt idx="0">
                  <c:v>Hyderabad</c:v>
                </c:pt>
                <c:pt idx="1">
                  <c:v>Mumbai</c:v>
                </c:pt>
                <c:pt idx="2">
                  <c:v>Delhi</c:v>
                </c:pt>
                <c:pt idx="3">
                  <c:v>Bangalore</c:v>
                </c:pt>
                <c:pt idx="4">
                  <c:v>Pune</c:v>
                </c:pt>
              </c:strCache>
            </c:strRef>
          </c:cat>
          <c:val>
            <c:numRef>
              <c:f>Dashboard!$C$43:$C$47</c:f>
              <c:numCache>
                <c:formatCode>0.00</c:formatCode>
                <c:ptCount val="5"/>
                <c:pt idx="0">
                  <c:v>76666.666666666672</c:v>
                </c:pt>
                <c:pt idx="1">
                  <c:v>75166.666666666672</c:v>
                </c:pt>
                <c:pt idx="2">
                  <c:v>64166.666666666664</c:v>
                </c:pt>
                <c:pt idx="3">
                  <c:v>68833.333333333328</c:v>
                </c:pt>
                <c:pt idx="4">
                  <c:v>56833.333333333336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9-47D2-85A4-40D03BB41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1167592"/>
        <c:axId val="911162344"/>
      </c:barChart>
      <c:lineChart>
        <c:grouping val="stacked"/>
        <c:varyColors val="0"/>
        <c:ser>
          <c:idx val="0"/>
          <c:order val="0"/>
          <c:tx>
            <c:strRef>
              <c:f>Dashboard!$B$42</c:f>
              <c:strCache>
                <c:ptCount val="1"/>
                <c:pt idx="0">
                  <c:v>Employee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Dashboard!$A$43:$A$47</c:f>
              <c:strCache>
                <c:ptCount val="5"/>
                <c:pt idx="0">
                  <c:v>Hyderabad</c:v>
                </c:pt>
                <c:pt idx="1">
                  <c:v>Mumbai</c:v>
                </c:pt>
                <c:pt idx="2">
                  <c:v>Delhi</c:v>
                </c:pt>
                <c:pt idx="3">
                  <c:v>Bangalore</c:v>
                </c:pt>
                <c:pt idx="4">
                  <c:v>Pune</c:v>
                </c:pt>
              </c:strCache>
            </c:strRef>
          </c:cat>
          <c:val>
            <c:numRef>
              <c:f>Dashboard!$B$43:$B$47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9-47D2-85A4-40D03BB41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667152"/>
        <c:axId val="1044671416"/>
      </c:lineChart>
      <c:catAx>
        <c:axId val="104466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671416"/>
        <c:crosses val="autoZero"/>
        <c:auto val="1"/>
        <c:lblAlgn val="ctr"/>
        <c:lblOffset val="100"/>
        <c:noMultiLvlLbl val="0"/>
      </c:catAx>
      <c:valAx>
        <c:axId val="104467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667152"/>
        <c:crosses val="autoZero"/>
        <c:crossBetween val="between"/>
      </c:valAx>
      <c:valAx>
        <c:axId val="91116234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67592"/>
        <c:crosses val="max"/>
        <c:crossBetween val="between"/>
      </c:valAx>
      <c:catAx>
        <c:axId val="911167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11623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Dashboard!$C$10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Dashboard!$A$11:$A$14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Dashboard!$C$11:$C$14</c:f>
              <c:numCache>
                <c:formatCode>0.00</c:formatCode>
                <c:ptCount val="4"/>
                <c:pt idx="0">
                  <c:v>68875</c:v>
                </c:pt>
                <c:pt idx="1">
                  <c:v>63571.428571428572</c:v>
                </c:pt>
                <c:pt idx="2">
                  <c:v>71000</c:v>
                </c:pt>
                <c:pt idx="3">
                  <c:v>69166.666666666672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E6-4BAE-8531-E7E37E0DC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8826416"/>
        <c:axId val="598834944"/>
      </c:barChart>
      <c:lineChart>
        <c:grouping val="stack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Employee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Dashboard!$A$11:$A$14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Dashboard!$B$11:$B$14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6-4BAE-8531-E7E37E0DC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870368"/>
        <c:axId val="598871680"/>
      </c:lineChart>
      <c:catAx>
        <c:axId val="59887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71680"/>
        <c:crosses val="autoZero"/>
        <c:auto val="1"/>
        <c:lblAlgn val="ctr"/>
        <c:lblOffset val="100"/>
        <c:noMultiLvlLbl val="0"/>
      </c:catAx>
      <c:valAx>
        <c:axId val="59887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70368"/>
        <c:crosses val="autoZero"/>
        <c:crossBetween val="between"/>
      </c:valAx>
      <c:valAx>
        <c:axId val="59883494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26416"/>
        <c:crosses val="max"/>
        <c:crossBetween val="between"/>
      </c:valAx>
      <c:catAx>
        <c:axId val="598826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88349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Performance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Dashboard!$A$55</c:f>
              <c:strCache>
                <c:ptCount val="1"/>
                <c:pt idx="0">
                  <c:v>Performance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Dashboard!$A$56:$A$58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1-466A-B8C1-DE650958E1FC}"/>
            </c:ext>
          </c:extLst>
        </c:ser>
        <c:ser>
          <c:idx val="1"/>
          <c:order val="1"/>
          <c:tx>
            <c:strRef>
              <c:f>Dashboard!$B$55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Dashboard!$B$56:$B$58</c:f>
              <c:numCache>
                <c:formatCode>General</c:formatCode>
                <c:ptCount val="3"/>
                <c:pt idx="0">
                  <c:v>7</c:v>
                </c:pt>
                <c:pt idx="1">
                  <c:v>13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1-466A-B8C1-DE650958E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1187928"/>
        <c:axId val="911191536"/>
      </c:barChart>
      <c:lineChart>
        <c:grouping val="standard"/>
        <c:varyColors val="0"/>
        <c:ser>
          <c:idx val="2"/>
          <c:order val="2"/>
          <c:tx>
            <c:strRef>
              <c:f>Dashboard!$C$55</c:f>
              <c:strCache>
                <c:ptCount val="1"/>
                <c:pt idx="0">
                  <c:v>Average Salary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Dashboard!$C$56:$C$58</c:f>
              <c:numCache>
                <c:formatCode>0</c:formatCode>
                <c:ptCount val="3"/>
                <c:pt idx="0">
                  <c:v>50142.857142857145</c:v>
                </c:pt>
                <c:pt idx="1">
                  <c:v>65307.692307692305</c:v>
                </c:pt>
                <c:pt idx="2">
                  <c:v>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41-466A-B8C1-DE650958E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6515360"/>
        <c:axId val="856521920"/>
      </c:lineChart>
      <c:catAx>
        <c:axId val="91118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91536"/>
        <c:crosses val="autoZero"/>
        <c:auto val="1"/>
        <c:lblAlgn val="ctr"/>
        <c:lblOffset val="100"/>
        <c:noMultiLvlLbl val="0"/>
      </c:catAx>
      <c:valAx>
        <c:axId val="9111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87928"/>
        <c:crosses val="autoZero"/>
        <c:crossBetween val="between"/>
      </c:valAx>
      <c:valAx>
        <c:axId val="8565219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515360"/>
        <c:crosses val="max"/>
        <c:crossBetween val="between"/>
      </c:valAx>
      <c:catAx>
        <c:axId val="856515360"/>
        <c:scaling>
          <c:orientation val="minMax"/>
        </c:scaling>
        <c:delete val="1"/>
        <c:axPos val="b"/>
        <c:majorTickMark val="out"/>
        <c:minorTickMark val="none"/>
        <c:tickLblPos val="nextTo"/>
        <c:crossAx val="8565219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005594499363074"/>
          <c:y val="6.5693430656934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Dashboard!$B$68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Dashboard!$A$69:$A$72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Dashboard!$B$69:$B$72</c:f>
              <c:numCache>
                <c:formatCode>0.00</c:formatCode>
                <c:ptCount val="4"/>
                <c:pt idx="0">
                  <c:v>68875</c:v>
                </c:pt>
                <c:pt idx="1">
                  <c:v>63571.428571428572</c:v>
                </c:pt>
                <c:pt idx="2">
                  <c:v>71000</c:v>
                </c:pt>
                <c:pt idx="3">
                  <c:v>69166.666666666672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2-4D1F-982D-F5E6657DE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530120"/>
        <c:axId val="856533072"/>
      </c:barChart>
      <c:catAx>
        <c:axId val="85653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533072"/>
        <c:crosses val="autoZero"/>
        <c:auto val="1"/>
        <c:lblAlgn val="ctr"/>
        <c:lblOffset val="100"/>
        <c:noMultiLvlLbl val="0"/>
      </c:catAx>
      <c:valAx>
        <c:axId val="85653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530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22</xdr:row>
      <xdr:rowOff>184150</xdr:rowOff>
    </xdr:from>
    <xdr:to>
      <xdr:col>8</xdr:col>
      <xdr:colOff>679450</xdr:colOff>
      <xdr:row>36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36E899-CBDE-2052-9054-5052A9CFE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603250</xdr:colOff>
      <xdr:row>39</xdr:row>
      <xdr:rowOff>190500</xdr:rowOff>
    </xdr:from>
    <xdr:to>
      <xdr:col>9</xdr:col>
      <xdr:colOff>50800</xdr:colOff>
      <xdr:row>49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4E397E-333B-E251-02BB-4F0E6FC28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571499</xdr:colOff>
      <xdr:row>7</xdr:row>
      <xdr:rowOff>114300</xdr:rowOff>
    </xdr:from>
    <xdr:to>
      <xdr:col>9</xdr:col>
      <xdr:colOff>257174</xdr:colOff>
      <xdr:row>20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DE80B8-F039-5C2E-6366-CF004D593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44450</xdr:colOff>
      <xdr:row>51</xdr:row>
      <xdr:rowOff>107950</xdr:rowOff>
    </xdr:from>
    <xdr:to>
      <xdr:col>9</xdr:col>
      <xdr:colOff>257174</xdr:colOff>
      <xdr:row>61</xdr:row>
      <xdr:rowOff>31750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C4FF92-B961-10E8-A498-10BF19993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22225</xdr:colOff>
      <xdr:row>63</xdr:row>
      <xdr:rowOff>133350</xdr:rowOff>
    </xdr:from>
    <xdr:to>
      <xdr:col>9</xdr:col>
      <xdr:colOff>247650</xdr:colOff>
      <xdr:row>73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9330E11-7D1C-A32E-AD6B-7C7791EF0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DBDC0D-4797-492C-98E9-DEE3AA875972}" autoFormatId="16" applyNumberFormats="0" applyBorderFormats="0" applyFontFormats="0" applyPatternFormats="0" applyAlignmentFormats="0" applyWidthHeightFormats="0">
  <queryTableRefresh nextId="10">
    <queryTableFields count="9">
      <queryTableField id="1" name="EmployeeID" tableColumnId="1"/>
      <queryTableField id="2" name="Name" tableColumnId="2"/>
      <queryTableField id="3" name="Department" tableColumnId="3"/>
      <queryTableField id="4" name="JobRole" tableColumnId="4"/>
      <queryTableField id="5" name="City" tableColumnId="5"/>
      <queryTableField id="6" name="Experience" tableColumnId="6"/>
      <queryTableField id="7" name="Salary" tableColumnId="7"/>
      <queryTableField id="8" name="JoiningDate" tableColumnId="8"/>
      <queryTableField id="9" name="PerformanceRatin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B0B4F-9213-4EC5-9DB6-F0785A012BF8}" name="EmployeeData" displayName="EmployeeData" ref="A1:I31" tableType="queryTable" totalsRowShown="0">
  <autoFilter ref="A1:I31" xr:uid="{EA7B0B4F-9213-4EC5-9DB6-F0785A012BF8}"/>
  <tableColumns count="9">
    <tableColumn id="1" xr3:uid="{21842959-051E-4E55-B8A5-522F56BE0DB9}" uniqueName="1" name="EmployeeID" queryTableFieldId="1" dataDxfId="5"/>
    <tableColumn id="2" xr3:uid="{B61D6DCE-0262-4649-85FF-E1FDF15BFED6}" uniqueName="2" name="Name" queryTableFieldId="2" dataDxfId="4"/>
    <tableColumn id="3" xr3:uid="{5DF62873-6655-43F0-BC91-BFFA2679163C}" uniqueName="3" name="Department" queryTableFieldId="3" dataDxfId="3"/>
    <tableColumn id="4" xr3:uid="{4CEC683A-73AA-4A0C-831F-98BCD1E21523}" uniqueName="4" name="JobRole" queryTableFieldId="4" dataDxfId="2"/>
    <tableColumn id="5" xr3:uid="{79B3F877-E829-41D2-886A-664F7D3AE4CD}" uniqueName="5" name="City" queryTableFieldId="5" dataDxfId="1"/>
    <tableColumn id="6" xr3:uid="{EC9EC201-10FF-42D0-8C42-4D8F103E42E3}" uniqueName="6" name="Experience" queryTableFieldId="6"/>
    <tableColumn id="7" xr3:uid="{8597AE50-7835-4156-A077-1BCDDB67AD1D}" uniqueName="7" name="Salary" queryTableFieldId="7"/>
    <tableColumn id="8" xr3:uid="{B95BB275-F22F-4CEF-B957-24706EBAAF7E}" uniqueName="8" name="JoiningDate" queryTableFieldId="8" dataDxfId="0"/>
    <tableColumn id="9" xr3:uid="{0866DC7E-5BCF-4E88-B1F3-8B8BDC9221E2}" uniqueName="9" name="PerformanceRating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DF4F-4EA6-47D9-B48B-021E5C0CFA23}">
  <dimension ref="A1:I31"/>
  <sheetViews>
    <sheetView workbookViewId="0">
      <selection activeCell="E7" sqref="E7"/>
    </sheetView>
  </sheetViews>
  <sheetFormatPr defaultRowHeight="14.5" x14ac:dyDescent="0.35"/>
  <cols>
    <col min="1" max="1" width="13.08984375" bestFit="1" customWidth="1"/>
    <col min="2" max="2" width="8" bestFit="1" customWidth="1"/>
    <col min="3" max="3" width="13.36328125" bestFit="1" customWidth="1"/>
    <col min="4" max="4" width="15.6328125" bestFit="1" customWidth="1"/>
    <col min="5" max="5" width="10" bestFit="1" customWidth="1"/>
    <col min="6" max="6" width="12.1796875" bestFit="1" customWidth="1"/>
    <col min="7" max="7" width="8.08984375" bestFit="1" customWidth="1"/>
    <col min="8" max="8" width="12.81640625" bestFit="1" customWidth="1"/>
    <col min="9" max="9" width="19.36328125" bestFit="1" customWidth="1"/>
  </cols>
  <sheetData>
    <row r="1" spans="1:9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3</v>
      </c>
      <c r="G2">
        <v>55000</v>
      </c>
      <c r="H2" s="1">
        <v>44727</v>
      </c>
      <c r="I2">
        <v>4</v>
      </c>
    </row>
    <row r="3" spans="1:9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5</v>
      </c>
      <c r="G3">
        <v>72000</v>
      </c>
      <c r="H3" s="1">
        <v>43900</v>
      </c>
      <c r="I3">
        <v>5</v>
      </c>
    </row>
    <row r="4" spans="1:9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2</v>
      </c>
      <c r="G4">
        <v>48000</v>
      </c>
      <c r="H4" s="1">
        <v>45158</v>
      </c>
      <c r="I4">
        <v>3</v>
      </c>
    </row>
    <row r="5" spans="1:9" x14ac:dyDescent="0.35">
      <c r="A5" t="s">
        <v>32</v>
      </c>
      <c r="B5" t="s">
        <v>33</v>
      </c>
      <c r="C5" t="s">
        <v>19</v>
      </c>
      <c r="D5" t="s">
        <v>34</v>
      </c>
      <c r="E5" t="s">
        <v>35</v>
      </c>
      <c r="F5">
        <v>6</v>
      </c>
      <c r="G5">
        <v>85000</v>
      </c>
      <c r="H5" s="1">
        <v>43470</v>
      </c>
      <c r="I5">
        <v>5</v>
      </c>
    </row>
    <row r="6" spans="1:9" x14ac:dyDescent="0.35">
      <c r="A6" t="s">
        <v>36</v>
      </c>
      <c r="B6" t="s">
        <v>37</v>
      </c>
      <c r="C6" t="s">
        <v>38</v>
      </c>
      <c r="D6" t="s">
        <v>39</v>
      </c>
      <c r="E6" t="s">
        <v>40</v>
      </c>
      <c r="F6">
        <v>4</v>
      </c>
      <c r="G6">
        <v>62000</v>
      </c>
      <c r="H6" s="1">
        <v>44512</v>
      </c>
      <c r="I6">
        <v>4</v>
      </c>
    </row>
    <row r="7" spans="1:9" x14ac:dyDescent="0.35">
      <c r="A7" t="s">
        <v>41</v>
      </c>
      <c r="B7" t="s">
        <v>42</v>
      </c>
      <c r="C7" t="s">
        <v>24</v>
      </c>
      <c r="D7" t="s">
        <v>43</v>
      </c>
      <c r="E7" t="s">
        <v>26</v>
      </c>
      <c r="F7">
        <v>3</v>
      </c>
      <c r="G7">
        <v>58000</v>
      </c>
      <c r="H7" s="1">
        <v>44760</v>
      </c>
      <c r="I7">
        <v>4</v>
      </c>
    </row>
    <row r="8" spans="1:9" x14ac:dyDescent="0.35">
      <c r="A8" t="s">
        <v>44</v>
      </c>
      <c r="B8" t="s">
        <v>45</v>
      </c>
      <c r="C8" t="s">
        <v>19</v>
      </c>
      <c r="D8" t="s">
        <v>46</v>
      </c>
      <c r="E8" t="s">
        <v>21</v>
      </c>
      <c r="F8">
        <v>7</v>
      </c>
      <c r="G8">
        <v>90000</v>
      </c>
      <c r="H8" s="1">
        <v>43156</v>
      </c>
      <c r="I8">
        <v>5</v>
      </c>
    </row>
    <row r="9" spans="1:9" x14ac:dyDescent="0.35">
      <c r="A9" t="s">
        <v>47</v>
      </c>
      <c r="B9" t="s">
        <v>48</v>
      </c>
      <c r="C9" t="s">
        <v>29</v>
      </c>
      <c r="D9" t="s">
        <v>49</v>
      </c>
      <c r="E9" t="s">
        <v>31</v>
      </c>
      <c r="F9">
        <v>8</v>
      </c>
      <c r="G9">
        <v>78000</v>
      </c>
      <c r="H9" s="1">
        <v>42986</v>
      </c>
      <c r="I9">
        <v>4</v>
      </c>
    </row>
    <row r="10" spans="1:9" x14ac:dyDescent="0.35">
      <c r="A10" t="s">
        <v>50</v>
      </c>
      <c r="B10" t="s">
        <v>51</v>
      </c>
      <c r="C10" t="s">
        <v>24</v>
      </c>
      <c r="D10" t="s">
        <v>52</v>
      </c>
      <c r="E10" t="s">
        <v>40</v>
      </c>
      <c r="F10">
        <v>6</v>
      </c>
      <c r="G10">
        <v>75000</v>
      </c>
      <c r="H10" s="1">
        <v>43569</v>
      </c>
      <c r="I10">
        <v>5</v>
      </c>
    </row>
    <row r="11" spans="1:9" x14ac:dyDescent="0.35">
      <c r="A11" t="s">
        <v>53</v>
      </c>
      <c r="B11" t="s">
        <v>54</v>
      </c>
      <c r="C11" t="s">
        <v>19</v>
      </c>
      <c r="D11" t="s">
        <v>55</v>
      </c>
      <c r="E11" t="s">
        <v>35</v>
      </c>
      <c r="F11">
        <v>4</v>
      </c>
      <c r="G11">
        <v>68000</v>
      </c>
      <c r="H11" s="1">
        <v>44369</v>
      </c>
      <c r="I11">
        <v>4</v>
      </c>
    </row>
    <row r="12" spans="1:9" x14ac:dyDescent="0.35">
      <c r="A12" t="s">
        <v>56</v>
      </c>
      <c r="B12" t="s">
        <v>57</v>
      </c>
      <c r="C12" t="s">
        <v>38</v>
      </c>
      <c r="D12" t="s">
        <v>58</v>
      </c>
      <c r="E12" t="s">
        <v>26</v>
      </c>
      <c r="F12">
        <v>9</v>
      </c>
      <c r="G12">
        <v>95000</v>
      </c>
      <c r="H12" s="1">
        <v>42380</v>
      </c>
      <c r="I12">
        <v>5</v>
      </c>
    </row>
    <row r="13" spans="1:9" x14ac:dyDescent="0.35">
      <c r="A13" t="s">
        <v>59</v>
      </c>
      <c r="B13" t="s">
        <v>60</v>
      </c>
      <c r="C13" t="s">
        <v>29</v>
      </c>
      <c r="D13" t="s">
        <v>61</v>
      </c>
      <c r="E13" t="s">
        <v>21</v>
      </c>
      <c r="F13">
        <v>3</v>
      </c>
      <c r="G13">
        <v>52000</v>
      </c>
      <c r="H13" s="1">
        <v>44864</v>
      </c>
      <c r="I13">
        <v>3</v>
      </c>
    </row>
    <row r="14" spans="1:9" x14ac:dyDescent="0.35">
      <c r="A14" t="s">
        <v>62</v>
      </c>
      <c r="B14" t="s">
        <v>63</v>
      </c>
      <c r="C14" t="s">
        <v>19</v>
      </c>
      <c r="D14" t="s">
        <v>20</v>
      </c>
      <c r="E14" t="s">
        <v>40</v>
      </c>
      <c r="F14">
        <v>2</v>
      </c>
      <c r="G14">
        <v>50000</v>
      </c>
      <c r="H14" s="1">
        <v>45063</v>
      </c>
      <c r="I14">
        <v>3</v>
      </c>
    </row>
    <row r="15" spans="1:9" x14ac:dyDescent="0.35">
      <c r="A15" t="s">
        <v>64</v>
      </c>
      <c r="B15" t="s">
        <v>65</v>
      </c>
      <c r="C15" t="s">
        <v>24</v>
      </c>
      <c r="D15" t="s">
        <v>25</v>
      </c>
      <c r="E15" t="s">
        <v>31</v>
      </c>
      <c r="F15">
        <v>7</v>
      </c>
      <c r="G15">
        <v>82000</v>
      </c>
      <c r="H15" s="1">
        <v>43443</v>
      </c>
      <c r="I15">
        <v>5</v>
      </c>
    </row>
    <row r="16" spans="1:9" x14ac:dyDescent="0.35">
      <c r="A16" t="s">
        <v>66</v>
      </c>
      <c r="B16" t="s">
        <v>67</v>
      </c>
      <c r="C16" t="s">
        <v>38</v>
      </c>
      <c r="D16" t="s">
        <v>39</v>
      </c>
      <c r="E16" t="s">
        <v>35</v>
      </c>
      <c r="F16">
        <v>2</v>
      </c>
      <c r="G16">
        <v>47000</v>
      </c>
      <c r="H16" s="1">
        <v>45190</v>
      </c>
      <c r="I16">
        <v>3</v>
      </c>
    </row>
    <row r="17" spans="1:9" x14ac:dyDescent="0.35">
      <c r="A17" t="s">
        <v>68</v>
      </c>
      <c r="B17" t="s">
        <v>69</v>
      </c>
      <c r="C17" t="s">
        <v>19</v>
      </c>
      <c r="D17" t="s">
        <v>34</v>
      </c>
      <c r="E17" t="s">
        <v>21</v>
      </c>
      <c r="F17">
        <v>5</v>
      </c>
      <c r="G17">
        <v>80000</v>
      </c>
      <c r="H17" s="1">
        <v>43864</v>
      </c>
      <c r="I17">
        <v>4</v>
      </c>
    </row>
    <row r="18" spans="1:9" x14ac:dyDescent="0.35">
      <c r="A18" t="s">
        <v>70</v>
      </c>
      <c r="B18" t="s">
        <v>71</v>
      </c>
      <c r="C18" t="s">
        <v>29</v>
      </c>
      <c r="D18" t="s">
        <v>30</v>
      </c>
      <c r="E18" t="s">
        <v>26</v>
      </c>
      <c r="F18">
        <v>4</v>
      </c>
      <c r="G18">
        <v>56000</v>
      </c>
      <c r="H18" s="1">
        <v>44363</v>
      </c>
      <c r="I18">
        <v>4</v>
      </c>
    </row>
    <row r="19" spans="1:9" x14ac:dyDescent="0.35">
      <c r="A19" t="s">
        <v>72</v>
      </c>
      <c r="B19" t="s">
        <v>73</v>
      </c>
      <c r="C19" t="s">
        <v>24</v>
      </c>
      <c r="D19" t="s">
        <v>43</v>
      </c>
      <c r="E19" t="s">
        <v>40</v>
      </c>
      <c r="F19">
        <v>2</v>
      </c>
      <c r="G19">
        <v>51000</v>
      </c>
      <c r="H19" s="1">
        <v>45165</v>
      </c>
      <c r="I19">
        <v>3</v>
      </c>
    </row>
    <row r="20" spans="1:9" x14ac:dyDescent="0.35">
      <c r="A20" t="s">
        <v>74</v>
      </c>
      <c r="B20" t="s">
        <v>75</v>
      </c>
      <c r="C20" t="s">
        <v>38</v>
      </c>
      <c r="D20" t="s">
        <v>39</v>
      </c>
      <c r="E20" t="s">
        <v>31</v>
      </c>
      <c r="F20">
        <v>5</v>
      </c>
      <c r="G20">
        <v>65000</v>
      </c>
      <c r="H20" s="1">
        <v>43903</v>
      </c>
      <c r="I20">
        <v>4</v>
      </c>
    </row>
    <row r="21" spans="1:9" x14ac:dyDescent="0.35">
      <c r="A21" t="s">
        <v>76</v>
      </c>
      <c r="B21" t="s">
        <v>77</v>
      </c>
      <c r="C21" t="s">
        <v>19</v>
      </c>
      <c r="D21" t="s">
        <v>55</v>
      </c>
      <c r="E21" t="s">
        <v>35</v>
      </c>
      <c r="F21">
        <v>6</v>
      </c>
      <c r="G21">
        <v>76000</v>
      </c>
      <c r="H21" s="1">
        <v>43757</v>
      </c>
      <c r="I21">
        <v>5</v>
      </c>
    </row>
    <row r="22" spans="1:9" x14ac:dyDescent="0.35">
      <c r="A22" t="s">
        <v>78</v>
      </c>
      <c r="B22" t="s">
        <v>79</v>
      </c>
      <c r="C22" t="s">
        <v>24</v>
      </c>
      <c r="D22" t="s">
        <v>52</v>
      </c>
      <c r="E22" t="s">
        <v>21</v>
      </c>
      <c r="F22">
        <v>8</v>
      </c>
      <c r="G22">
        <v>88000</v>
      </c>
      <c r="H22" s="1">
        <v>42923</v>
      </c>
      <c r="I22">
        <v>5</v>
      </c>
    </row>
    <row r="23" spans="1:9" x14ac:dyDescent="0.35">
      <c r="A23" t="s">
        <v>80</v>
      </c>
      <c r="B23" t="s">
        <v>81</v>
      </c>
      <c r="C23" t="s">
        <v>29</v>
      </c>
      <c r="D23" t="s">
        <v>61</v>
      </c>
      <c r="E23" t="s">
        <v>40</v>
      </c>
      <c r="F23">
        <v>2</v>
      </c>
      <c r="G23">
        <v>49000</v>
      </c>
      <c r="H23" s="1">
        <v>45253</v>
      </c>
      <c r="I23">
        <v>3</v>
      </c>
    </row>
    <row r="24" spans="1:9" x14ac:dyDescent="0.35">
      <c r="A24" t="s">
        <v>82</v>
      </c>
      <c r="B24" t="s">
        <v>83</v>
      </c>
      <c r="C24" t="s">
        <v>38</v>
      </c>
      <c r="D24" t="s">
        <v>58</v>
      </c>
      <c r="E24" t="s">
        <v>26</v>
      </c>
      <c r="F24">
        <v>7</v>
      </c>
      <c r="G24">
        <v>92000</v>
      </c>
      <c r="H24" s="1">
        <v>43225</v>
      </c>
      <c r="I24">
        <v>5</v>
      </c>
    </row>
    <row r="25" spans="1:9" x14ac:dyDescent="0.35">
      <c r="A25" t="s">
        <v>84</v>
      </c>
      <c r="B25" t="s">
        <v>85</v>
      </c>
      <c r="C25" t="s">
        <v>19</v>
      </c>
      <c r="D25" t="s">
        <v>20</v>
      </c>
      <c r="E25" t="s">
        <v>31</v>
      </c>
      <c r="F25">
        <v>3</v>
      </c>
      <c r="G25">
        <v>57000</v>
      </c>
      <c r="H25" s="1">
        <v>44604</v>
      </c>
      <c r="I25">
        <v>4</v>
      </c>
    </row>
    <row r="26" spans="1:9" x14ac:dyDescent="0.35">
      <c r="A26" t="s">
        <v>86</v>
      </c>
      <c r="B26" t="s">
        <v>87</v>
      </c>
      <c r="C26" t="s">
        <v>24</v>
      </c>
      <c r="D26" t="s">
        <v>25</v>
      </c>
      <c r="E26" t="s">
        <v>35</v>
      </c>
      <c r="F26">
        <v>4</v>
      </c>
      <c r="G26">
        <v>70000</v>
      </c>
      <c r="H26" s="1">
        <v>44467</v>
      </c>
      <c r="I26">
        <v>4</v>
      </c>
    </row>
    <row r="27" spans="1:9" x14ac:dyDescent="0.35">
      <c r="A27" t="s">
        <v>88</v>
      </c>
      <c r="B27" t="s">
        <v>89</v>
      </c>
      <c r="C27" t="s">
        <v>29</v>
      </c>
      <c r="D27" t="s">
        <v>49</v>
      </c>
      <c r="E27" t="s">
        <v>21</v>
      </c>
      <c r="F27">
        <v>10</v>
      </c>
      <c r="G27">
        <v>95000</v>
      </c>
      <c r="H27" s="1">
        <v>42019</v>
      </c>
      <c r="I27">
        <v>5</v>
      </c>
    </row>
    <row r="28" spans="1:9" x14ac:dyDescent="0.35">
      <c r="A28" t="s">
        <v>90</v>
      </c>
      <c r="B28" t="s">
        <v>91</v>
      </c>
      <c r="C28" t="s">
        <v>38</v>
      </c>
      <c r="D28" t="s">
        <v>39</v>
      </c>
      <c r="E28" t="s">
        <v>40</v>
      </c>
      <c r="F28">
        <v>3</v>
      </c>
      <c r="G28">
        <v>54000</v>
      </c>
      <c r="H28" s="1">
        <v>44718</v>
      </c>
      <c r="I28">
        <v>3</v>
      </c>
    </row>
    <row r="29" spans="1:9" x14ac:dyDescent="0.35">
      <c r="A29" t="s">
        <v>92</v>
      </c>
      <c r="B29" t="s">
        <v>93</v>
      </c>
      <c r="C29" t="s">
        <v>19</v>
      </c>
      <c r="D29" t="s">
        <v>46</v>
      </c>
      <c r="E29" t="s">
        <v>26</v>
      </c>
      <c r="F29">
        <v>5</v>
      </c>
      <c r="G29">
        <v>78000</v>
      </c>
      <c r="H29" s="1">
        <v>44182</v>
      </c>
      <c r="I29">
        <v>4</v>
      </c>
    </row>
    <row r="30" spans="1:9" x14ac:dyDescent="0.35">
      <c r="A30" t="s">
        <v>94</v>
      </c>
      <c r="B30" t="s">
        <v>95</v>
      </c>
      <c r="C30" t="s">
        <v>24</v>
      </c>
      <c r="D30" t="s">
        <v>43</v>
      </c>
      <c r="E30" t="s">
        <v>31</v>
      </c>
      <c r="F30">
        <v>3</v>
      </c>
      <c r="G30">
        <v>55000</v>
      </c>
      <c r="H30" s="1">
        <v>44675</v>
      </c>
      <c r="I30">
        <v>4</v>
      </c>
    </row>
    <row r="31" spans="1:9" x14ac:dyDescent="0.35">
      <c r="A31" t="s">
        <v>96</v>
      </c>
      <c r="B31" t="s">
        <v>97</v>
      </c>
      <c r="C31" t="s">
        <v>29</v>
      </c>
      <c r="D31" t="s">
        <v>30</v>
      </c>
      <c r="E31" t="s">
        <v>35</v>
      </c>
      <c r="F31">
        <v>6</v>
      </c>
      <c r="G31">
        <v>67000</v>
      </c>
      <c r="H31" s="1">
        <v>43687</v>
      </c>
      <c r="I3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573F-7D53-4C11-85C0-FC482A6DF9D9}">
  <dimension ref="A1:J47"/>
  <sheetViews>
    <sheetView workbookViewId="0">
      <selection activeCell="D3" sqref="D3:F7"/>
    </sheetView>
  </sheetViews>
  <sheetFormatPr defaultRowHeight="14.5" x14ac:dyDescent="0.35"/>
  <cols>
    <col min="1" max="1" width="24.6328125" bestFit="1" customWidth="1"/>
    <col min="2" max="2" width="14.54296875" bestFit="1" customWidth="1"/>
    <col min="3" max="3" width="13.08984375" bestFit="1" customWidth="1"/>
    <col min="4" max="4" width="10.90625" bestFit="1" customWidth="1"/>
    <col min="5" max="5" width="14.54296875" bestFit="1" customWidth="1"/>
    <col min="6" max="6" width="13.08984375" bestFit="1" customWidth="1"/>
    <col min="7" max="7" width="12.54296875" bestFit="1" customWidth="1"/>
    <col min="8" max="8" width="12.08984375" bestFit="1" customWidth="1"/>
    <col min="9" max="9" width="17.26953125" bestFit="1" customWidth="1"/>
    <col min="10" max="10" width="24.6328125" bestFit="1" customWidth="1"/>
  </cols>
  <sheetData>
    <row r="1" spans="1:10" s="2" customFormat="1" ht="20" customHeight="1" x14ac:dyDescent="0.35">
      <c r="A1" s="27" t="s">
        <v>98</v>
      </c>
      <c r="B1" s="28"/>
      <c r="C1" s="28"/>
    </row>
    <row r="2" spans="1:10" ht="15.5" customHeight="1" thickBot="1" x14ac:dyDescent="0.4">
      <c r="A2" s="30" t="s">
        <v>108</v>
      </c>
      <c r="B2" s="30"/>
      <c r="D2" s="31" t="s">
        <v>109</v>
      </c>
      <c r="E2" s="31"/>
    </row>
    <row r="3" spans="1:10" ht="19" customHeight="1" x14ac:dyDescent="0.35">
      <c r="A3" s="8" t="s">
        <v>0</v>
      </c>
      <c r="B3" s="9" t="s">
        <v>1</v>
      </c>
      <c r="D3" s="8" t="s">
        <v>10</v>
      </c>
      <c r="E3" s="11" t="s">
        <v>99</v>
      </c>
      <c r="F3" s="11" t="s">
        <v>3</v>
      </c>
      <c r="G3" s="11" t="s">
        <v>4</v>
      </c>
      <c r="H3" s="11" t="s">
        <v>5</v>
      </c>
      <c r="I3" s="11" t="s">
        <v>6</v>
      </c>
      <c r="J3" s="16" t="s">
        <v>7</v>
      </c>
    </row>
    <row r="4" spans="1:10" x14ac:dyDescent="0.35">
      <c r="A4" s="5" t="s">
        <v>2</v>
      </c>
      <c r="B4" s="17">
        <f>COUNTA(EmployeeData[EmployeeID])</f>
        <v>30</v>
      </c>
      <c r="D4" s="5" t="s">
        <v>24</v>
      </c>
      <c r="E4" s="12">
        <f>COUNTIF(EmployeeData[Department],D4)</f>
        <v>8</v>
      </c>
      <c r="F4" s="14">
        <f>AVERAGEIF(EmployeeData[Department],D4,EmployeeData[Salary])</f>
        <v>68875</v>
      </c>
      <c r="G4" s="12">
        <f>_xlfn.MAXIFS(EmployeeData[Salary],EmployeeData[Department],D4)</f>
        <v>88000</v>
      </c>
      <c r="H4" s="12">
        <f>_xlfn.MINIFS(EmployeeData[Salary],EmployeeData[Department],D4)</f>
        <v>51000</v>
      </c>
      <c r="I4" s="14">
        <f>AVERAGEIFS(EmployeeData[Experience],EmployeeData[Department],D4)</f>
        <v>4.75</v>
      </c>
      <c r="J4" s="17">
        <f>AVERAGEIFS(EmployeeData[PerformanceRating],EmployeeData[Department],D4)</f>
        <v>4.375</v>
      </c>
    </row>
    <row r="5" spans="1:10" x14ac:dyDescent="0.35">
      <c r="A5" s="5" t="s">
        <v>3</v>
      </c>
      <c r="B5" s="17">
        <f>AVERAGE(EmployeeData[Salary])</f>
        <v>68333.333333333328</v>
      </c>
      <c r="D5" s="5" t="s">
        <v>29</v>
      </c>
      <c r="E5" s="12">
        <f>COUNTIF(EmployeeData[Department],D5)</f>
        <v>7</v>
      </c>
      <c r="F5" s="14">
        <f>AVERAGEIF(EmployeeData[Department],D5,EmployeeData[Salary])</f>
        <v>63571.428571428572</v>
      </c>
      <c r="G5" s="12">
        <f>_xlfn.MAXIFS(EmployeeData[Salary],EmployeeData[Department],D5)</f>
        <v>95000</v>
      </c>
      <c r="H5" s="12">
        <f>_xlfn.MINIFS(EmployeeData[Salary],EmployeeData[Department],D5)</f>
        <v>48000</v>
      </c>
      <c r="I5" s="14">
        <f>AVERAGEIFS(EmployeeData[Experience],EmployeeData[Department],D5)</f>
        <v>5</v>
      </c>
      <c r="J5" s="17">
        <f>AVERAGEIFS(EmployeeData[PerformanceRating],EmployeeData[Department],D5)</f>
        <v>3.7142857142857144</v>
      </c>
    </row>
    <row r="6" spans="1:10" x14ac:dyDescent="0.35">
      <c r="A6" s="5" t="s">
        <v>4</v>
      </c>
      <c r="B6" s="17">
        <f>MAX(EmployeeData[Salary])</f>
        <v>95000</v>
      </c>
      <c r="D6" s="5" t="s">
        <v>19</v>
      </c>
      <c r="E6" s="12">
        <f>COUNTIF(EmployeeData[Department],D6)</f>
        <v>9</v>
      </c>
      <c r="F6" s="14">
        <f>AVERAGEIF(EmployeeData[Department],D6,EmployeeData[Salary])</f>
        <v>71000</v>
      </c>
      <c r="G6" s="12">
        <f>_xlfn.MAXIFS(EmployeeData[Salary],EmployeeData[Department],D6)</f>
        <v>90000</v>
      </c>
      <c r="H6" s="12">
        <f>_xlfn.MINIFS(EmployeeData[Salary],EmployeeData[Department],D6)</f>
        <v>50000</v>
      </c>
      <c r="I6" s="14">
        <f>AVERAGEIFS(EmployeeData[Experience],EmployeeData[Department],D6)</f>
        <v>4.5555555555555554</v>
      </c>
      <c r="J6" s="17">
        <f>AVERAGEIFS(EmployeeData[PerformanceRating],EmployeeData[Department],D6)</f>
        <v>4.2222222222222223</v>
      </c>
    </row>
    <row r="7" spans="1:10" ht="15" thickBot="1" x14ac:dyDescent="0.4">
      <c r="A7" s="5" t="s">
        <v>5</v>
      </c>
      <c r="B7" s="17">
        <f>MIN(EmployeeData[Salary])</f>
        <v>47000</v>
      </c>
      <c r="D7" s="6" t="s">
        <v>38</v>
      </c>
      <c r="E7" s="13">
        <f>COUNTIF(EmployeeData[Department],D7)</f>
        <v>6</v>
      </c>
      <c r="F7" s="15">
        <f>AVERAGEIF(EmployeeData[Department],D7,EmployeeData[Salary])</f>
        <v>69166.666666666672</v>
      </c>
      <c r="G7" s="13">
        <f>_xlfn.MAXIFS(EmployeeData[Salary],EmployeeData[Department],D7)</f>
        <v>95000</v>
      </c>
      <c r="H7" s="13">
        <f>_xlfn.MINIFS(EmployeeData[Salary],EmployeeData[Department],D7)</f>
        <v>47000</v>
      </c>
      <c r="I7" s="15">
        <f>AVERAGEIFS(EmployeeData[Experience],EmployeeData[Department],D7)</f>
        <v>5</v>
      </c>
      <c r="J7" s="18">
        <f>AVERAGEIFS(EmployeeData[PerformanceRating],EmployeeData[Department],D7)</f>
        <v>4</v>
      </c>
    </row>
    <row r="8" spans="1:10" x14ac:dyDescent="0.35">
      <c r="A8" s="5" t="s">
        <v>6</v>
      </c>
      <c r="B8" s="17">
        <f>AVERAGE(EmployeeData[Experience])</f>
        <v>4.8</v>
      </c>
    </row>
    <row r="9" spans="1:10" ht="15" thickBot="1" x14ac:dyDescent="0.4">
      <c r="A9" s="20" t="s">
        <v>7</v>
      </c>
      <c r="B9" s="18">
        <f>AVERAGE(EmployeeData[PerformanceRating])</f>
        <v>4.0999999999999996</v>
      </c>
    </row>
    <row r="10" spans="1:10" x14ac:dyDescent="0.35">
      <c r="A10" s="7"/>
      <c r="B10" s="7"/>
    </row>
    <row r="11" spans="1:10" ht="15.5" x14ac:dyDescent="0.35">
      <c r="A11" s="23" t="s">
        <v>100</v>
      </c>
    </row>
    <row r="12" spans="1:10" ht="15.5" x14ac:dyDescent="0.35">
      <c r="A12" s="19"/>
    </row>
    <row r="13" spans="1:10" x14ac:dyDescent="0.35">
      <c r="A13" s="4" t="s">
        <v>101</v>
      </c>
      <c r="B13" s="4" t="s">
        <v>99</v>
      </c>
      <c r="C13" s="4" t="s">
        <v>3</v>
      </c>
    </row>
    <row r="14" spans="1:10" x14ac:dyDescent="0.35">
      <c r="A14" s="5" t="s">
        <v>20</v>
      </c>
      <c r="B14" s="12">
        <f>COUNTIF(EmployeeData[JobRole],A14)</f>
        <v>3</v>
      </c>
      <c r="C14" s="17">
        <f>AVERAGEIF(EmployeeData[JobRole],A14,EmployeeData[Salary])</f>
        <v>54000</v>
      </c>
    </row>
    <row r="15" spans="1:10" x14ac:dyDescent="0.35">
      <c r="A15" s="5" t="s">
        <v>25</v>
      </c>
      <c r="B15" s="12">
        <f>COUNTIF(EmployeeData[JobRole],A15)</f>
        <v>3</v>
      </c>
      <c r="C15" s="17">
        <f>AVERAGEIF(EmployeeData[JobRole],A15,EmployeeData[Salary])</f>
        <v>74666.666666666672</v>
      </c>
    </row>
    <row r="16" spans="1:10" x14ac:dyDescent="0.35">
      <c r="A16" s="5" t="s">
        <v>30</v>
      </c>
      <c r="B16" s="12">
        <f>COUNTIF(EmployeeData[JobRole],A16)</f>
        <v>3</v>
      </c>
      <c r="C16" s="17">
        <f>AVERAGEIF(EmployeeData[JobRole],A16,EmployeeData[Salary])</f>
        <v>57000</v>
      </c>
    </row>
    <row r="17" spans="1:3" x14ac:dyDescent="0.35">
      <c r="A17" s="5" t="s">
        <v>34</v>
      </c>
      <c r="B17" s="12">
        <f>COUNTIF(EmployeeData[JobRole],A17)</f>
        <v>2</v>
      </c>
      <c r="C17" s="17">
        <f>AVERAGEIF(EmployeeData[JobRole],A17,EmployeeData[Salary])</f>
        <v>82500</v>
      </c>
    </row>
    <row r="18" spans="1:3" x14ac:dyDescent="0.35">
      <c r="A18" s="5" t="s">
        <v>39</v>
      </c>
      <c r="B18" s="12">
        <f>COUNTIF(EmployeeData[JobRole],A18)</f>
        <v>4</v>
      </c>
      <c r="C18" s="17">
        <f>AVERAGEIF(EmployeeData[JobRole],A18,EmployeeData[Salary])</f>
        <v>57000</v>
      </c>
    </row>
    <row r="19" spans="1:3" x14ac:dyDescent="0.35">
      <c r="A19" s="5" t="s">
        <v>43</v>
      </c>
      <c r="B19" s="12">
        <f>COUNTIF(EmployeeData[JobRole],A19)</f>
        <v>3</v>
      </c>
      <c r="C19" s="17">
        <f>AVERAGEIF(EmployeeData[JobRole],A19,EmployeeData[Salary])</f>
        <v>54666.666666666664</v>
      </c>
    </row>
    <row r="20" spans="1:3" x14ac:dyDescent="0.35">
      <c r="A20" s="5" t="s">
        <v>46</v>
      </c>
      <c r="B20" s="12">
        <f>COUNTIF(EmployeeData[JobRole],A20)</f>
        <v>2</v>
      </c>
      <c r="C20" s="17">
        <f>AVERAGEIF(EmployeeData[JobRole],A20,EmployeeData[Salary])</f>
        <v>84000</v>
      </c>
    </row>
    <row r="21" spans="1:3" x14ac:dyDescent="0.35">
      <c r="A21" s="5" t="s">
        <v>49</v>
      </c>
      <c r="B21" s="12">
        <f>COUNTIF(EmployeeData[JobRole],A21)</f>
        <v>2</v>
      </c>
      <c r="C21" s="17">
        <f>AVERAGEIF(EmployeeData[JobRole],A21,EmployeeData[Salary])</f>
        <v>86500</v>
      </c>
    </row>
    <row r="22" spans="1:3" x14ac:dyDescent="0.35">
      <c r="A22" s="5" t="s">
        <v>52</v>
      </c>
      <c r="B22" s="12">
        <f>COUNTIF(EmployeeData[JobRole],A22)</f>
        <v>2</v>
      </c>
      <c r="C22" s="17">
        <f>AVERAGEIF(EmployeeData[JobRole],A22,EmployeeData[Salary])</f>
        <v>81500</v>
      </c>
    </row>
    <row r="23" spans="1:3" x14ac:dyDescent="0.35">
      <c r="A23" s="5" t="s">
        <v>55</v>
      </c>
      <c r="B23" s="12">
        <f>COUNTIF(EmployeeData[JobRole],A23)</f>
        <v>2</v>
      </c>
      <c r="C23" s="17">
        <f>AVERAGEIF(EmployeeData[JobRole],A23,EmployeeData[Salary])</f>
        <v>72000</v>
      </c>
    </row>
    <row r="24" spans="1:3" x14ac:dyDescent="0.35">
      <c r="A24" s="5" t="s">
        <v>58</v>
      </c>
      <c r="B24" s="12">
        <f>COUNTIF(EmployeeData[JobRole],A24)</f>
        <v>2</v>
      </c>
      <c r="C24" s="17">
        <f>AVERAGEIF(EmployeeData[JobRole],A24,EmployeeData[Salary])</f>
        <v>93500</v>
      </c>
    </row>
    <row r="25" spans="1:3" ht="15" thickBot="1" x14ac:dyDescent="0.4">
      <c r="A25" s="6" t="s">
        <v>61</v>
      </c>
      <c r="B25" s="13">
        <f>COUNTIF(EmployeeData[JobRole],A25)</f>
        <v>2</v>
      </c>
      <c r="C25" s="18">
        <f>AVERAGEIF(EmployeeData[JobRole],A25,EmployeeData[Salary])</f>
        <v>50500</v>
      </c>
    </row>
    <row r="26" spans="1:3" x14ac:dyDescent="0.35">
      <c r="C26" s="21"/>
    </row>
    <row r="27" spans="1:3" ht="15.5" x14ac:dyDescent="0.35">
      <c r="A27" s="24" t="s">
        <v>102</v>
      </c>
      <c r="C27" s="21"/>
    </row>
    <row r="28" spans="1:3" x14ac:dyDescent="0.35">
      <c r="C28" s="21"/>
    </row>
    <row r="29" spans="1:3" x14ac:dyDescent="0.35">
      <c r="A29" s="4" t="s">
        <v>12</v>
      </c>
      <c r="B29" s="4" t="s">
        <v>99</v>
      </c>
      <c r="C29" s="22" t="s">
        <v>3</v>
      </c>
    </row>
    <row r="30" spans="1:3" x14ac:dyDescent="0.35">
      <c r="A30" s="5" t="s">
        <v>21</v>
      </c>
      <c r="B30" s="12">
        <f>COUNTIF(EmployeeData[City],A30)</f>
        <v>6</v>
      </c>
      <c r="C30" s="17">
        <f>AVERAGEIF(EmployeeData[City],A30,EmployeeData[Salary])</f>
        <v>76666.666666666672</v>
      </c>
    </row>
    <row r="31" spans="1:3" x14ac:dyDescent="0.35">
      <c r="A31" s="5" t="s">
        <v>26</v>
      </c>
      <c r="B31" s="12">
        <f>COUNTIF(EmployeeData[City],A31)</f>
        <v>6</v>
      </c>
      <c r="C31" s="17">
        <f>AVERAGEIF(EmployeeData[City],A31,EmployeeData[Salary])</f>
        <v>75166.666666666672</v>
      </c>
    </row>
    <row r="32" spans="1:3" x14ac:dyDescent="0.35">
      <c r="A32" s="5" t="s">
        <v>31</v>
      </c>
      <c r="B32" s="12">
        <f>COUNTIF(EmployeeData[City],A32)</f>
        <v>6</v>
      </c>
      <c r="C32" s="17">
        <f>AVERAGEIF(EmployeeData[City],A32,EmployeeData[Salary])</f>
        <v>64166.666666666664</v>
      </c>
    </row>
    <row r="33" spans="1:5" x14ac:dyDescent="0.35">
      <c r="A33" s="5" t="s">
        <v>35</v>
      </c>
      <c r="B33" s="12">
        <f>COUNTIF(EmployeeData[City],A33)</f>
        <v>6</v>
      </c>
      <c r="C33" s="17">
        <f>AVERAGEIF(EmployeeData[City],A33,EmployeeData[Salary])</f>
        <v>68833.333333333328</v>
      </c>
    </row>
    <row r="34" spans="1:5" ht="15" thickBot="1" x14ac:dyDescent="0.4">
      <c r="A34" s="6" t="s">
        <v>40</v>
      </c>
      <c r="B34" s="13">
        <f>COUNTIF(EmployeeData[City],A34)</f>
        <v>6</v>
      </c>
      <c r="C34" s="18">
        <f>AVERAGEIF(EmployeeData[City],A34,EmployeeData[Salary])</f>
        <v>56833.333333333336</v>
      </c>
    </row>
    <row r="35" spans="1:5" x14ac:dyDescent="0.35">
      <c r="C35" s="21"/>
    </row>
    <row r="36" spans="1:5" ht="15.5" x14ac:dyDescent="0.35">
      <c r="A36" s="29" t="s">
        <v>103</v>
      </c>
      <c r="B36" s="29"/>
      <c r="C36" s="21"/>
    </row>
    <row r="37" spans="1:5" ht="15" thickBot="1" x14ac:dyDescent="0.4">
      <c r="C37" s="21"/>
    </row>
    <row r="38" spans="1:5" x14ac:dyDescent="0.35">
      <c r="A38" s="8" t="s">
        <v>104</v>
      </c>
      <c r="B38" s="11" t="s">
        <v>99</v>
      </c>
      <c r="C38" s="25" t="s">
        <v>3</v>
      </c>
      <c r="E38" s="10"/>
    </row>
    <row r="39" spans="1:5" x14ac:dyDescent="0.35">
      <c r="A39" s="5">
        <v>3</v>
      </c>
      <c r="B39" s="12">
        <f>COUNTIF(EmployeeData[PerformanceRating],A39)</f>
        <v>7</v>
      </c>
      <c r="C39" s="17">
        <f>AVERAGEIF(EmployeeData[PerformanceRating],A39,EmployeeData[Salary])</f>
        <v>50142.857142857145</v>
      </c>
    </row>
    <row r="40" spans="1:5" x14ac:dyDescent="0.35">
      <c r="A40" s="5">
        <v>4</v>
      </c>
      <c r="B40" s="12">
        <f>COUNTIF(EmployeeData[PerformanceRating],A40)</f>
        <v>13</v>
      </c>
      <c r="C40" s="17">
        <f>AVERAGEIF(EmployeeData[PerformanceRating],A40,EmployeeData[Salary])</f>
        <v>65307.692307692305</v>
      </c>
    </row>
    <row r="41" spans="1:5" ht="15" thickBot="1" x14ac:dyDescent="0.4">
      <c r="A41" s="6">
        <v>5</v>
      </c>
      <c r="B41" s="13">
        <f>COUNTIF(EmployeeData[PerformanceRating],A41)</f>
        <v>10</v>
      </c>
      <c r="C41" s="18">
        <f>AVERAGEIF(EmployeeData[PerformanceRating],A41,EmployeeData[Salary])</f>
        <v>85000</v>
      </c>
    </row>
    <row r="42" spans="1:5" x14ac:dyDescent="0.35">
      <c r="C42" s="21"/>
    </row>
    <row r="43" spans="1:5" x14ac:dyDescent="0.35">
      <c r="C43" s="21"/>
    </row>
    <row r="44" spans="1:5" x14ac:dyDescent="0.35">
      <c r="B44" s="10"/>
    </row>
    <row r="47" spans="1:5" x14ac:dyDescent="0.35">
      <c r="B47" s="3"/>
      <c r="C47" s="3"/>
    </row>
  </sheetData>
  <mergeCells count="4">
    <mergeCell ref="A1:C1"/>
    <mergeCell ref="A36:B36"/>
    <mergeCell ref="A2:B2"/>
    <mergeCell ref="D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3EFC-41A7-4F18-A6D9-5A834B14A729}">
  <dimension ref="A1:M72"/>
  <sheetViews>
    <sheetView showGridLines="0" tabSelected="1" workbookViewId="0">
      <selection activeCell="I2" sqref="I2"/>
    </sheetView>
  </sheetViews>
  <sheetFormatPr defaultRowHeight="14.5" x14ac:dyDescent="0.35"/>
  <cols>
    <col min="1" max="1" width="13.7265625" customWidth="1"/>
    <col min="2" max="2" width="14.54296875" bestFit="1" customWidth="1"/>
    <col min="3" max="3" width="13.08984375" bestFit="1" customWidth="1"/>
    <col min="9" max="10" width="9.90625" customWidth="1"/>
  </cols>
  <sheetData>
    <row r="1" spans="1:13" x14ac:dyDescent="0.35">
      <c r="A1" s="63" t="s">
        <v>105</v>
      </c>
      <c r="B1" s="63"/>
      <c r="C1" s="63"/>
      <c r="D1" s="63"/>
      <c r="E1" s="63"/>
      <c r="F1" s="63"/>
      <c r="G1" s="63"/>
      <c r="H1" s="63"/>
    </row>
    <row r="2" spans="1:13" x14ac:dyDescent="0.35">
      <c r="A2" s="63"/>
      <c r="B2" s="63"/>
      <c r="C2" s="63"/>
      <c r="D2" s="63"/>
      <c r="E2" s="63"/>
      <c r="F2" s="63"/>
      <c r="G2" s="63"/>
      <c r="H2" s="63"/>
    </row>
    <row r="4" spans="1:13" ht="14.5" customHeight="1" x14ac:dyDescent="0.35">
      <c r="A4" s="39" t="s">
        <v>107</v>
      </c>
      <c r="B4" s="39"/>
      <c r="C4" s="42" t="s">
        <v>3</v>
      </c>
      <c r="D4" s="42"/>
      <c r="E4" s="48" t="s">
        <v>4</v>
      </c>
      <c r="F4" s="48"/>
      <c r="G4" s="45" t="s">
        <v>5</v>
      </c>
      <c r="H4" s="45"/>
      <c r="I4" s="51" t="s">
        <v>6</v>
      </c>
      <c r="J4" s="51"/>
      <c r="K4" s="42" t="s">
        <v>106</v>
      </c>
      <c r="L4" s="42"/>
      <c r="M4" s="42"/>
    </row>
    <row r="5" spans="1:13" ht="14.5" customHeight="1" x14ac:dyDescent="0.35">
      <c r="A5" s="40">
        <f>Analysis!B4</f>
        <v>30</v>
      </c>
      <c r="B5" s="41"/>
      <c r="C5" s="43">
        <f>Analysis!B5</f>
        <v>68333.333333333328</v>
      </c>
      <c r="D5" s="44"/>
      <c r="E5" s="49">
        <f>Analysis!B6</f>
        <v>95000</v>
      </c>
      <c r="F5" s="50"/>
      <c r="G5" s="46">
        <f>Analysis!B7</f>
        <v>47000</v>
      </c>
      <c r="H5" s="47"/>
      <c r="I5" s="52">
        <f>Analysis!B8</f>
        <v>4.8</v>
      </c>
      <c r="J5" s="53"/>
      <c r="K5" s="54">
        <f>Analysis!B9</f>
        <v>4.0999999999999996</v>
      </c>
      <c r="L5" s="55"/>
      <c r="M5" s="55"/>
    </row>
    <row r="6" spans="1:13" ht="14.5" customHeight="1" x14ac:dyDescent="0.35">
      <c r="A6" s="41"/>
      <c r="B6" s="41"/>
      <c r="C6" s="44"/>
      <c r="D6" s="44"/>
      <c r="E6" s="50"/>
      <c r="F6" s="50"/>
      <c r="G6" s="47"/>
      <c r="H6" s="47"/>
      <c r="I6" s="53"/>
      <c r="J6" s="53"/>
      <c r="K6" s="55"/>
      <c r="L6" s="55"/>
      <c r="M6" s="55"/>
    </row>
    <row r="8" spans="1:13" ht="15.5" x14ac:dyDescent="0.35">
      <c r="B8" s="34" t="s">
        <v>110</v>
      </c>
      <c r="C8" s="34"/>
    </row>
    <row r="9" spans="1:13" ht="15" thickBot="1" x14ac:dyDescent="0.4"/>
    <row r="10" spans="1:13" x14ac:dyDescent="0.35">
      <c r="A10" s="56" t="s">
        <v>10</v>
      </c>
      <c r="B10" s="57" t="s">
        <v>99</v>
      </c>
      <c r="C10" s="58" t="s">
        <v>3</v>
      </c>
    </row>
    <row r="11" spans="1:13" x14ac:dyDescent="0.35">
      <c r="A11" s="5" t="s">
        <v>24</v>
      </c>
      <c r="B11" s="12">
        <f>COUNTIF(EmployeeData[Department],A11)</f>
        <v>8</v>
      </c>
      <c r="C11" s="17">
        <f>AVERAGEIF(EmployeeData[Department],A11,EmployeeData[Salary])</f>
        <v>68875</v>
      </c>
    </row>
    <row r="12" spans="1:13" x14ac:dyDescent="0.35">
      <c r="A12" s="5" t="s">
        <v>29</v>
      </c>
      <c r="B12" s="12">
        <f>COUNTIF(EmployeeData[Department],A12)</f>
        <v>7</v>
      </c>
      <c r="C12" s="17">
        <f>AVERAGEIF(EmployeeData[Department],A12,EmployeeData[Salary])</f>
        <v>63571.428571428572</v>
      </c>
    </row>
    <row r="13" spans="1:13" x14ac:dyDescent="0.35">
      <c r="A13" s="5" t="s">
        <v>19</v>
      </c>
      <c r="B13" s="12">
        <f>COUNTIF(EmployeeData[Department],A13)</f>
        <v>9</v>
      </c>
      <c r="C13" s="17">
        <f>AVERAGEIF(EmployeeData[Department],A13,EmployeeData[Salary])</f>
        <v>71000</v>
      </c>
    </row>
    <row r="14" spans="1:13" ht="15" thickBot="1" x14ac:dyDescent="0.4">
      <c r="A14" s="6" t="s">
        <v>38</v>
      </c>
      <c r="B14" s="13">
        <f>COUNTIF(EmployeeData[Department],A14)</f>
        <v>6</v>
      </c>
      <c r="C14" s="18">
        <f>AVERAGEIF(EmployeeData[Department],A14,EmployeeData[Salary])</f>
        <v>69166.666666666672</v>
      </c>
    </row>
    <row r="17" spans="1:5" x14ac:dyDescent="0.35">
      <c r="E17" s="26"/>
    </row>
    <row r="23" spans="1:5" ht="15.5" x14ac:dyDescent="0.35">
      <c r="B23" s="36" t="s">
        <v>112</v>
      </c>
      <c r="C23" s="36"/>
    </row>
    <row r="25" spans="1:5" x14ac:dyDescent="0.35">
      <c r="A25" s="4" t="s">
        <v>101</v>
      </c>
      <c r="B25" s="4" t="s">
        <v>99</v>
      </c>
      <c r="C25" s="4" t="s">
        <v>3</v>
      </c>
    </row>
    <row r="26" spans="1:5" x14ac:dyDescent="0.35">
      <c r="A26" s="5" t="s">
        <v>20</v>
      </c>
      <c r="B26" s="12">
        <f>COUNTIF(EmployeeData[JobRole],A26)</f>
        <v>3</v>
      </c>
      <c r="C26" s="17">
        <f>AVERAGEIF(EmployeeData[JobRole],A26,EmployeeData[Salary])</f>
        <v>54000</v>
      </c>
    </row>
    <row r="27" spans="1:5" x14ac:dyDescent="0.35">
      <c r="A27" s="5" t="s">
        <v>25</v>
      </c>
      <c r="B27" s="12">
        <f>COUNTIF(EmployeeData[JobRole],A27)</f>
        <v>3</v>
      </c>
      <c r="C27" s="17">
        <f>AVERAGEIF(EmployeeData[JobRole],A27,EmployeeData[Salary])</f>
        <v>74666.666666666672</v>
      </c>
    </row>
    <row r="28" spans="1:5" x14ac:dyDescent="0.35">
      <c r="A28" s="5" t="s">
        <v>30</v>
      </c>
      <c r="B28" s="12">
        <f>COUNTIF(EmployeeData[JobRole],A28)</f>
        <v>3</v>
      </c>
      <c r="C28" s="17">
        <f>AVERAGEIF(EmployeeData[JobRole],A28,EmployeeData[Salary])</f>
        <v>57000</v>
      </c>
    </row>
    <row r="29" spans="1:5" x14ac:dyDescent="0.35">
      <c r="A29" s="5" t="s">
        <v>34</v>
      </c>
      <c r="B29" s="12">
        <f>COUNTIF(EmployeeData[JobRole],A29)</f>
        <v>2</v>
      </c>
      <c r="C29" s="17">
        <f>AVERAGEIF(EmployeeData[JobRole],A29,EmployeeData[Salary])</f>
        <v>82500</v>
      </c>
    </row>
    <row r="30" spans="1:5" x14ac:dyDescent="0.35">
      <c r="A30" s="5" t="s">
        <v>39</v>
      </c>
      <c r="B30" s="12">
        <f>COUNTIF(EmployeeData[JobRole],A30)</f>
        <v>4</v>
      </c>
      <c r="C30" s="17">
        <f>AVERAGEIF(EmployeeData[JobRole],A30,EmployeeData[Salary])</f>
        <v>57000</v>
      </c>
    </row>
    <row r="31" spans="1:5" x14ac:dyDescent="0.35">
      <c r="A31" s="5" t="s">
        <v>43</v>
      </c>
      <c r="B31" s="12">
        <f>COUNTIF(EmployeeData[JobRole],A31)</f>
        <v>3</v>
      </c>
      <c r="C31" s="17">
        <f>AVERAGEIF(EmployeeData[JobRole],A31,EmployeeData[Salary])</f>
        <v>54666.666666666664</v>
      </c>
    </row>
    <row r="32" spans="1:5" x14ac:dyDescent="0.35">
      <c r="A32" s="5" t="s">
        <v>46</v>
      </c>
      <c r="B32" s="12">
        <f>COUNTIF(EmployeeData[JobRole],A32)</f>
        <v>2</v>
      </c>
      <c r="C32" s="17">
        <f>AVERAGEIF(EmployeeData[JobRole],A32,EmployeeData[Salary])</f>
        <v>84000</v>
      </c>
    </row>
    <row r="33" spans="1:3" x14ac:dyDescent="0.35">
      <c r="A33" s="5" t="s">
        <v>49</v>
      </c>
      <c r="B33" s="12">
        <f>COUNTIF(EmployeeData[JobRole],A33)</f>
        <v>2</v>
      </c>
      <c r="C33" s="17">
        <f>AVERAGEIF(EmployeeData[JobRole],A33,EmployeeData[Salary])</f>
        <v>86500</v>
      </c>
    </row>
    <row r="34" spans="1:3" x14ac:dyDescent="0.35">
      <c r="A34" s="5" t="s">
        <v>52</v>
      </c>
      <c r="B34" s="12">
        <f>COUNTIF(EmployeeData[JobRole],A34)</f>
        <v>2</v>
      </c>
      <c r="C34" s="17">
        <f>AVERAGEIF(EmployeeData[JobRole],A34,EmployeeData[Salary])</f>
        <v>81500</v>
      </c>
    </row>
    <row r="35" spans="1:3" x14ac:dyDescent="0.35">
      <c r="A35" s="5" t="s">
        <v>55</v>
      </c>
      <c r="B35" s="12">
        <f>COUNTIF(EmployeeData[JobRole],A35)</f>
        <v>2</v>
      </c>
      <c r="C35" s="17">
        <f>AVERAGEIF(EmployeeData[JobRole],A35,EmployeeData[Salary])</f>
        <v>72000</v>
      </c>
    </row>
    <row r="36" spans="1:3" x14ac:dyDescent="0.35">
      <c r="A36" s="5" t="s">
        <v>58</v>
      </c>
      <c r="B36" s="12">
        <f>COUNTIF(EmployeeData[JobRole],A36)</f>
        <v>2</v>
      </c>
      <c r="C36" s="17">
        <f>AVERAGEIF(EmployeeData[JobRole],A36,EmployeeData[Salary])</f>
        <v>93500</v>
      </c>
    </row>
    <row r="37" spans="1:3" ht="15" thickBot="1" x14ac:dyDescent="0.4">
      <c r="A37" s="6" t="s">
        <v>61</v>
      </c>
      <c r="B37" s="13">
        <f>COUNTIF(EmployeeData[JobRole],A37)</f>
        <v>2</v>
      </c>
      <c r="C37" s="18">
        <f>AVERAGEIF(EmployeeData[JobRole],A37,EmployeeData[Salary])</f>
        <v>50500</v>
      </c>
    </row>
    <row r="40" spans="1:3" ht="15.5" x14ac:dyDescent="0.35">
      <c r="B40" s="35" t="s">
        <v>111</v>
      </c>
      <c r="C40" s="35"/>
    </row>
    <row r="42" spans="1:3" x14ac:dyDescent="0.35">
      <c r="A42" s="4" t="s">
        <v>12</v>
      </c>
      <c r="B42" s="4" t="s">
        <v>99</v>
      </c>
      <c r="C42" s="22" t="s">
        <v>3</v>
      </c>
    </row>
    <row r="43" spans="1:3" x14ac:dyDescent="0.35">
      <c r="A43" s="5" t="s">
        <v>21</v>
      </c>
      <c r="B43" s="12">
        <f>COUNTIF(EmployeeData[City],A43)</f>
        <v>6</v>
      </c>
      <c r="C43" s="17">
        <f>AVERAGEIF(EmployeeData[City],A43,EmployeeData[Salary])</f>
        <v>76666.666666666672</v>
      </c>
    </row>
    <row r="44" spans="1:3" x14ac:dyDescent="0.35">
      <c r="A44" s="5" t="s">
        <v>26</v>
      </c>
      <c r="B44" s="12">
        <f>COUNTIF(EmployeeData[City],A44)</f>
        <v>6</v>
      </c>
      <c r="C44" s="17">
        <f>AVERAGEIF(EmployeeData[City],A44,EmployeeData[Salary])</f>
        <v>75166.666666666672</v>
      </c>
    </row>
    <row r="45" spans="1:3" x14ac:dyDescent="0.35">
      <c r="A45" s="5" t="s">
        <v>31</v>
      </c>
      <c r="B45" s="12">
        <f>COUNTIF(EmployeeData[City],A45)</f>
        <v>6</v>
      </c>
      <c r="C45" s="17">
        <f>AVERAGEIF(EmployeeData[City],A45,EmployeeData[Salary])</f>
        <v>64166.666666666664</v>
      </c>
    </row>
    <row r="46" spans="1:3" x14ac:dyDescent="0.35">
      <c r="A46" s="5" t="s">
        <v>35</v>
      </c>
      <c r="B46" s="12">
        <f>COUNTIF(EmployeeData[City],A46)</f>
        <v>6</v>
      </c>
      <c r="C46" s="17">
        <f>AVERAGEIF(EmployeeData[City],A46,EmployeeData[Salary])</f>
        <v>68833.333333333328</v>
      </c>
    </row>
    <row r="47" spans="1:3" ht="15" thickBot="1" x14ac:dyDescent="0.4">
      <c r="A47" s="6" t="s">
        <v>40</v>
      </c>
      <c r="B47" s="13">
        <f>COUNTIF(EmployeeData[City],A47)</f>
        <v>6</v>
      </c>
      <c r="C47" s="18">
        <f>AVERAGEIF(EmployeeData[City],A47,EmployeeData[Salary])</f>
        <v>56833.333333333336</v>
      </c>
    </row>
    <row r="53" spans="1:4" ht="15.5" x14ac:dyDescent="0.35">
      <c r="B53" s="32" t="s">
        <v>113</v>
      </c>
      <c r="C53" s="33"/>
      <c r="D53" s="33"/>
    </row>
    <row r="54" spans="1:4" ht="15" thickBot="1" x14ac:dyDescent="0.4"/>
    <row r="55" spans="1:4" ht="29" x14ac:dyDescent="0.35">
      <c r="A55" s="59" t="s">
        <v>104</v>
      </c>
      <c r="B55" s="11" t="s">
        <v>99</v>
      </c>
      <c r="C55" s="60" t="s">
        <v>3</v>
      </c>
    </row>
    <row r="56" spans="1:4" x14ac:dyDescent="0.35">
      <c r="A56" s="5">
        <v>3</v>
      </c>
      <c r="B56" s="12">
        <f>COUNTIF(EmployeeData[PerformanceRating],A56)</f>
        <v>7</v>
      </c>
      <c r="C56" s="61">
        <f>AVERAGEIF(EmployeeData[PerformanceRating],A56,EmployeeData[Salary])</f>
        <v>50142.857142857145</v>
      </c>
    </row>
    <row r="57" spans="1:4" x14ac:dyDescent="0.35">
      <c r="A57" s="5">
        <v>4</v>
      </c>
      <c r="B57" s="12">
        <f>COUNTIF(EmployeeData[PerformanceRating],A57)</f>
        <v>13</v>
      </c>
      <c r="C57" s="61">
        <f>AVERAGEIF(EmployeeData[PerformanceRating],A57,EmployeeData[Salary])</f>
        <v>65307.692307692305</v>
      </c>
    </row>
    <row r="58" spans="1:4" ht="15" thickBot="1" x14ac:dyDescent="0.4">
      <c r="A58" s="6">
        <v>5</v>
      </c>
      <c r="B58" s="13">
        <f>COUNTIF(EmployeeData[PerformanceRating],A58)</f>
        <v>10</v>
      </c>
      <c r="C58" s="62">
        <f>AVERAGEIF(EmployeeData[PerformanceRating],A58,EmployeeData[Salary])</f>
        <v>85000</v>
      </c>
    </row>
    <row r="66" spans="1:3" ht="15.5" x14ac:dyDescent="0.35">
      <c r="B66" s="37" t="s">
        <v>114</v>
      </c>
      <c r="C66" s="38"/>
    </row>
    <row r="67" spans="1:3" ht="15" thickBot="1" x14ac:dyDescent="0.4"/>
    <row r="68" spans="1:3" x14ac:dyDescent="0.35">
      <c r="A68" s="8" t="s">
        <v>10</v>
      </c>
      <c r="B68" s="11" t="s">
        <v>3</v>
      </c>
    </row>
    <row r="69" spans="1:3" x14ac:dyDescent="0.35">
      <c r="A69" s="5" t="s">
        <v>24</v>
      </c>
      <c r="B69" s="14">
        <f>AVERAGEIF(EmployeeData[Department],A69,EmployeeData[Salary])</f>
        <v>68875</v>
      </c>
    </row>
    <row r="70" spans="1:3" x14ac:dyDescent="0.35">
      <c r="A70" s="5" t="s">
        <v>29</v>
      </c>
      <c r="B70" s="14">
        <f>AVERAGEIF(EmployeeData[Department],A70,EmployeeData[Salary])</f>
        <v>63571.428571428572</v>
      </c>
    </row>
    <row r="71" spans="1:3" x14ac:dyDescent="0.35">
      <c r="A71" s="5" t="s">
        <v>19</v>
      </c>
      <c r="B71" s="14">
        <f>AVERAGEIF(EmployeeData[Department],A71,EmployeeData[Salary])</f>
        <v>71000</v>
      </c>
    </row>
    <row r="72" spans="1:3" ht="15" thickBot="1" x14ac:dyDescent="0.4">
      <c r="A72" s="6" t="s">
        <v>38</v>
      </c>
      <c r="B72" s="15">
        <f>AVERAGEIF(EmployeeData[Department],A72,EmployeeData[Salary])</f>
        <v>69166.666666666672</v>
      </c>
    </row>
  </sheetData>
  <mergeCells count="18">
    <mergeCell ref="A1:H2"/>
    <mergeCell ref="B66:C66"/>
    <mergeCell ref="A4:B4"/>
    <mergeCell ref="C4:D4"/>
    <mergeCell ref="E4:F4"/>
    <mergeCell ref="G4:H4"/>
    <mergeCell ref="K4:M4"/>
    <mergeCell ref="I4:J4"/>
    <mergeCell ref="B53:D53"/>
    <mergeCell ref="G5:H6"/>
    <mergeCell ref="I5:J6"/>
    <mergeCell ref="K5:M6"/>
    <mergeCell ref="B8:C8"/>
    <mergeCell ref="B40:C40"/>
    <mergeCell ref="B23:C23"/>
    <mergeCell ref="A5:B6"/>
    <mergeCell ref="C5:D6"/>
    <mergeCell ref="E5:F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34C8C9-2672-429D-9F11-CC0C6BD8CF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2026-09-30T04:44:16Z</dcterms:created>
  <dcterms:modified xsi:type="dcterms:W3CDTF">2026-10-01T11:34:31Z</dcterms:modified>
</cp:coreProperties>
</file>